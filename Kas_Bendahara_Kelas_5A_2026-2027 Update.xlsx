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E:\Indah 2025\Project Indah\"/>
    </mc:Choice>
  </mc:AlternateContent>
  <xr:revisionPtr revIDLastSave="0" documentId="8_{3A351502-C7E1-4416-B521-A53D368F741A}" xr6:coauthVersionLast="47" xr6:coauthVersionMax="47" xr10:uidLastSave="{00000000-0000-0000-0000-000000000000}"/>
  <bookViews>
    <workbookView xWindow="23880" yWindow="-120" windowWidth="29040" windowHeight="15840" activeTab="1" xr2:uid="{00000000-000D-0000-FFFF-FFFF00000000}"/>
  </bookViews>
  <sheets>
    <sheet name="Pembayaran Kas 12 Bulan" sheetId="1" r:id="rId1"/>
    <sheet name="Pengeluaran K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6" i="1" l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Q37" i="1" l="1"/>
</calcChain>
</file>

<file path=xl/sharedStrings.xml><?xml version="1.0" encoding="utf-8"?>
<sst xmlns="http://schemas.openxmlformats.org/spreadsheetml/2006/main" count="150" uniqueCount="90">
  <si>
    <t>No</t>
  </si>
  <si>
    <t>Nama Siswa</t>
  </si>
  <si>
    <t>No. HP / WA</t>
  </si>
  <si>
    <t>Juli 2026</t>
  </si>
  <si>
    <t>Agustus 2026</t>
  </si>
  <si>
    <t>September 2026</t>
  </si>
  <si>
    <t>Oktober 2026</t>
  </si>
  <si>
    <t>November 2026</t>
  </si>
  <si>
    <t>Desember 2026</t>
  </si>
  <si>
    <t>Januari 2027</t>
  </si>
  <si>
    <t>Februari 2027</t>
  </si>
  <si>
    <t>Maret 2027</t>
  </si>
  <si>
    <t>April 2027</t>
  </si>
  <si>
    <t>Mei 2027</t>
  </si>
  <si>
    <t>Juni 2027</t>
  </si>
  <si>
    <t>Total Lunas</t>
  </si>
  <si>
    <t>Total Nominal (Rp)</t>
  </si>
  <si>
    <t>Adiara Zahwa Aprella</t>
  </si>
  <si>
    <t>082125470951</t>
  </si>
  <si>
    <t>2/12</t>
  </si>
  <si>
    <t>Alesha Fitria Khairunnisa</t>
  </si>
  <si>
    <t>081281920272</t>
  </si>
  <si>
    <t>6/12</t>
  </si>
  <si>
    <t>Alicia Alverina Carter</t>
  </si>
  <si>
    <t>-</t>
  </si>
  <si>
    <t>Allesya Alvera Meina Lengkong</t>
  </si>
  <si>
    <t>0/12</t>
  </si>
  <si>
    <t>Allysia Leilanie Yasmine</t>
  </si>
  <si>
    <t>Ar Kenzie Kiaka Putra</t>
  </si>
  <si>
    <t>Cathy Charissa Hutauruk</t>
  </si>
  <si>
    <t>Cavello Vincenzo Pratama</t>
  </si>
  <si>
    <t>082130355514</t>
  </si>
  <si>
    <t>12/12</t>
  </si>
  <si>
    <t>Chelsea Vebian</t>
  </si>
  <si>
    <t>087894587966</t>
  </si>
  <si>
    <t>Cleo Vennya Donita</t>
  </si>
  <si>
    <t>08111742629</t>
  </si>
  <si>
    <t>3/12</t>
  </si>
  <si>
    <t>Cleona Uli Malau</t>
  </si>
  <si>
    <t>Cleva Anastasya Tanjung</t>
  </si>
  <si>
    <t>Darrell Gavriel Oliver</t>
  </si>
  <si>
    <t>5/12</t>
  </si>
  <si>
    <t>Diandra Sapta Pratama</t>
  </si>
  <si>
    <t>Fahira Anindita Nurhakim</t>
  </si>
  <si>
    <t>Fazila Azzahra</t>
  </si>
  <si>
    <t>Fransisca</t>
  </si>
  <si>
    <t>Josua Hamonangan Slahaan</t>
  </si>
  <si>
    <t>Jusuf Habibi Muchtar</t>
  </si>
  <si>
    <t>Khaerul Basyar Rukmana</t>
  </si>
  <si>
    <t>085710401552</t>
  </si>
  <si>
    <t>Khairunnisa Dwi Kurniawan</t>
  </si>
  <si>
    <t>Kim Reynand Andah Pranaja</t>
  </si>
  <si>
    <t>085117070159</t>
  </si>
  <si>
    <t>Lutfi Khoirul Nur Ramadhan</t>
  </si>
  <si>
    <t>081283016613</t>
  </si>
  <si>
    <t>Marco Alejandro Mendoza Retno</t>
  </si>
  <si>
    <t>081808251119</t>
  </si>
  <si>
    <t>Maryam Audra Milly</t>
  </si>
  <si>
    <t>085176651200</t>
  </si>
  <si>
    <t>Muhammad Danish Ali Haidari</t>
  </si>
  <si>
    <t>Muhammad Raja El Firdaus</t>
  </si>
  <si>
    <t>087745525749</t>
  </si>
  <si>
    <t>Muhammad Rifat Ramadhan</t>
  </si>
  <si>
    <t>081212855837</t>
  </si>
  <si>
    <t>Muhammad Zlatan Alkhalifi</t>
  </si>
  <si>
    <t>081216100160</t>
  </si>
  <si>
    <t>Nathaniel Raphael</t>
  </si>
  <si>
    <t>Naura Alvy Zahya</t>
  </si>
  <si>
    <t>081291890142</t>
  </si>
  <si>
    <t>Queenzha Aqila</t>
  </si>
  <si>
    <t>081288071004</t>
  </si>
  <si>
    <t>Satya Akbar Putra</t>
  </si>
  <si>
    <t>Syafhia Nazruliza</t>
  </si>
  <si>
    <t>Viola Callista Donita</t>
  </si>
  <si>
    <t>Tanggal</t>
  </si>
  <si>
    <t>Kategori</t>
  </si>
  <si>
    <t>Uraian Keperluan</t>
  </si>
  <si>
    <t>Nominal (Rp)</t>
  </si>
  <si>
    <t>2026-08-04</t>
  </si>
  <si>
    <t>Lain-lain</t>
  </si>
  <si>
    <t>Tissue 2 Ply A Basics 600gram 2pcs</t>
  </si>
  <si>
    <t>Stella Aerosol Balinese Jasmine Sensation Pengharum Ruangan 350ml 2pcs</t>
  </si>
  <si>
    <t>2026-07-31</t>
  </si>
  <si>
    <t>Air galon 2 @22000</t>
  </si>
  <si>
    <t>Tisue</t>
  </si>
  <si>
    <t>Fotokopi &amp; Cetak Soal</t>
  </si>
  <si>
    <t>FC jadwal 35 @500</t>
  </si>
  <si>
    <t>LKPD MPLS 20 @500</t>
  </si>
  <si>
    <t>LKPD Wali kelas 35 @500</t>
  </si>
  <si>
    <t>Jenguk mama Danish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</si>
</sst>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7"/>
  <sheetViews>
    <sheetView workbookViewId="0">
      <selection activeCell="F7" sqref="F7"/>
    </sheetView>
  </sheetViews>
  <sheetFormatPr defaultRowHeight="15" x14ac:dyDescent="0.25"/>
  <cols>
    <col min="2" max="2" width="27.875" bestFit="1" customWidth="1"/>
    <col min="3" max="3" width="13" bestFit="1" customWidth="1"/>
    <col min="16" max="16" width="10.25" bestFit="1" customWidth="1"/>
    <col min="17" max="17" width="16.25" bestFit="1" customWidth="1"/>
  </cols>
  <sheetData>
    <row r="1" spans="1:18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8" ht="15.75" x14ac:dyDescent="0.25">
      <c r="A2">
        <v>1</v>
      </c>
      <c r="B2" t="s">
        <v>17</v>
      </c>
      <c r="C2" t="s">
        <v>18</v>
      </c>
      <c r="D2">
        <v>20000</v>
      </c>
      <c r="E2">
        <v>20000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t="s">
        <v>19</v>
      </c>
      <c r="Q2">
        <f>SUM(D2:O2)</f>
        <v>40000</v>
      </c>
    </row>
    <row r="3" spans="1:18" ht="15.75" x14ac:dyDescent="0.25">
      <c r="A3">
        <v>2</v>
      </c>
      <c r="B3" t="s">
        <v>20</v>
      </c>
      <c r="C3" t="s">
        <v>21</v>
      </c>
      <c r="D3">
        <v>20000</v>
      </c>
      <c r="E3">
        <v>20000</v>
      </c>
      <c r="F3">
        <v>20000</v>
      </c>
      <c r="G3">
        <v>20000</v>
      </c>
      <c r="H3">
        <v>20000</v>
      </c>
      <c r="I3">
        <v>20000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t="s">
        <v>22</v>
      </c>
      <c r="Q3">
        <f t="shared" ref="Q3:Q36" si="0">SUM(D3:O3)</f>
        <v>120000</v>
      </c>
    </row>
    <row r="4" spans="1:18" ht="15.75" x14ac:dyDescent="0.25">
      <c r="A4">
        <v>3</v>
      </c>
      <c r="B4" t="s">
        <v>23</v>
      </c>
      <c r="C4" t="s">
        <v>24</v>
      </c>
      <c r="D4">
        <v>20000</v>
      </c>
      <c r="E4">
        <v>20000</v>
      </c>
      <c r="F4">
        <v>20000</v>
      </c>
      <c r="G4">
        <v>20000</v>
      </c>
      <c r="H4">
        <v>20000</v>
      </c>
      <c r="I4">
        <v>20000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t="s">
        <v>22</v>
      </c>
      <c r="Q4">
        <f t="shared" si="0"/>
        <v>120000</v>
      </c>
    </row>
    <row r="5" spans="1:18" ht="15.75" x14ac:dyDescent="0.25">
      <c r="A5">
        <v>4</v>
      </c>
      <c r="B5" t="s">
        <v>25</v>
      </c>
      <c r="C5" t="s">
        <v>24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26</v>
      </c>
      <c r="Q5">
        <f t="shared" si="0"/>
        <v>0</v>
      </c>
    </row>
    <row r="6" spans="1:18" ht="15.75" x14ac:dyDescent="0.25">
      <c r="A6">
        <v>5</v>
      </c>
      <c r="B6" t="s">
        <v>27</v>
      </c>
      <c r="C6" t="s">
        <v>24</v>
      </c>
      <c r="D6">
        <v>20000</v>
      </c>
      <c r="E6">
        <v>20000</v>
      </c>
      <c r="F6">
        <v>20000</v>
      </c>
      <c r="G6">
        <v>20000</v>
      </c>
      <c r="H6">
        <v>20000</v>
      </c>
      <c r="I6">
        <v>20000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26</v>
      </c>
      <c r="Q6">
        <f t="shared" si="0"/>
        <v>120000</v>
      </c>
      <c r="R6" s="1">
        <v>46252</v>
      </c>
    </row>
    <row r="7" spans="1:18" ht="15.75" x14ac:dyDescent="0.25">
      <c r="A7">
        <v>6</v>
      </c>
      <c r="B7" t="s">
        <v>28</v>
      </c>
      <c r="C7" t="s">
        <v>24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">
        <v>26</v>
      </c>
      <c r="Q7">
        <f t="shared" si="0"/>
        <v>0</v>
      </c>
    </row>
    <row r="8" spans="1:18" ht="15.75" x14ac:dyDescent="0.25">
      <c r="A8">
        <v>7</v>
      </c>
      <c r="B8" t="s">
        <v>29</v>
      </c>
      <c r="C8" t="s">
        <v>24</v>
      </c>
      <c r="D8">
        <v>20000</v>
      </c>
      <c r="E8">
        <v>20000</v>
      </c>
      <c r="F8">
        <v>20000</v>
      </c>
      <c r="G8">
        <v>20000</v>
      </c>
      <c r="H8">
        <v>20000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t="s">
        <v>26</v>
      </c>
      <c r="Q8">
        <f t="shared" si="0"/>
        <v>100000</v>
      </c>
      <c r="R8" s="1">
        <v>46184</v>
      </c>
    </row>
    <row r="9" spans="1:18" ht="15.75" x14ac:dyDescent="0.25">
      <c r="A9">
        <v>8</v>
      </c>
      <c r="B9" t="s">
        <v>30</v>
      </c>
      <c r="C9" t="s">
        <v>31</v>
      </c>
      <c r="D9">
        <v>20000</v>
      </c>
      <c r="E9">
        <v>20000</v>
      </c>
      <c r="F9">
        <v>20000</v>
      </c>
      <c r="G9">
        <v>20000</v>
      </c>
      <c r="H9">
        <v>20000</v>
      </c>
      <c r="I9">
        <v>20000</v>
      </c>
      <c r="J9">
        <v>20000</v>
      </c>
      <c r="K9">
        <v>20000</v>
      </c>
      <c r="L9">
        <v>20000</v>
      </c>
      <c r="M9">
        <v>20000</v>
      </c>
      <c r="N9">
        <v>20000</v>
      </c>
      <c r="O9">
        <v>20000</v>
      </c>
      <c r="P9" t="s">
        <v>32</v>
      </c>
      <c r="Q9">
        <f t="shared" si="0"/>
        <v>240000</v>
      </c>
    </row>
    <row r="10" spans="1:18" ht="15.75" x14ac:dyDescent="0.25">
      <c r="A10">
        <v>9</v>
      </c>
      <c r="B10" t="s">
        <v>33</v>
      </c>
      <c r="C10" t="s">
        <v>34</v>
      </c>
      <c r="D10">
        <v>20000</v>
      </c>
      <c r="E10">
        <v>20000</v>
      </c>
      <c r="F10">
        <v>20000</v>
      </c>
      <c r="G10">
        <v>20000</v>
      </c>
      <c r="H10">
        <v>20000</v>
      </c>
      <c r="I10">
        <v>20000</v>
      </c>
      <c r="J10">
        <v>20000</v>
      </c>
      <c r="K10">
        <v>20000</v>
      </c>
      <c r="L10">
        <v>20000</v>
      </c>
      <c r="M10">
        <v>20000</v>
      </c>
      <c r="N10">
        <v>20000</v>
      </c>
      <c r="O10">
        <v>20000</v>
      </c>
      <c r="P10" t="s">
        <v>32</v>
      </c>
      <c r="Q10">
        <f t="shared" si="0"/>
        <v>240000</v>
      </c>
    </row>
    <row r="11" spans="1:18" ht="15.75" x14ac:dyDescent="0.25">
      <c r="A11">
        <v>10</v>
      </c>
      <c r="B11" t="s">
        <v>35</v>
      </c>
      <c r="C11" t="s">
        <v>36</v>
      </c>
      <c r="D11">
        <v>20000</v>
      </c>
      <c r="E11">
        <v>20000</v>
      </c>
      <c r="F11">
        <v>20000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37</v>
      </c>
      <c r="Q11">
        <f t="shared" si="0"/>
        <v>60000</v>
      </c>
    </row>
    <row r="12" spans="1:18" ht="15.75" x14ac:dyDescent="0.25">
      <c r="A12">
        <v>11</v>
      </c>
      <c r="B12" t="s">
        <v>38</v>
      </c>
      <c r="C12" t="s">
        <v>24</v>
      </c>
      <c r="D12">
        <v>20000</v>
      </c>
      <c r="E12">
        <v>20000</v>
      </c>
      <c r="F12">
        <v>20000</v>
      </c>
      <c r="G12">
        <v>20000</v>
      </c>
      <c r="H12">
        <v>20000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26</v>
      </c>
      <c r="Q12">
        <f t="shared" si="0"/>
        <v>100000</v>
      </c>
    </row>
    <row r="13" spans="1:18" ht="15.75" x14ac:dyDescent="0.25">
      <c r="A13">
        <v>12</v>
      </c>
      <c r="B13" t="s">
        <v>39</v>
      </c>
      <c r="C13" t="s">
        <v>24</v>
      </c>
      <c r="D13">
        <v>20000</v>
      </c>
      <c r="E13">
        <v>20000</v>
      </c>
      <c r="F13">
        <v>20000</v>
      </c>
      <c r="G13">
        <v>20000</v>
      </c>
      <c r="H13">
        <v>20000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26</v>
      </c>
      <c r="Q13">
        <f t="shared" si="0"/>
        <v>100000</v>
      </c>
      <c r="R13" s="1">
        <v>46258</v>
      </c>
    </row>
    <row r="14" spans="1:18" ht="15.75" x14ac:dyDescent="0.25">
      <c r="A14">
        <v>13</v>
      </c>
      <c r="B14" t="s">
        <v>40</v>
      </c>
      <c r="C14" t="s">
        <v>24</v>
      </c>
      <c r="D14">
        <v>20000</v>
      </c>
      <c r="E14">
        <v>20000</v>
      </c>
      <c r="F14">
        <v>20000</v>
      </c>
      <c r="G14">
        <v>20000</v>
      </c>
      <c r="H14">
        <v>20000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41</v>
      </c>
      <c r="Q14">
        <f t="shared" si="0"/>
        <v>100000</v>
      </c>
    </row>
    <row r="15" spans="1:18" ht="15.75" x14ac:dyDescent="0.25">
      <c r="A15">
        <v>14</v>
      </c>
      <c r="B15" t="s">
        <v>42</v>
      </c>
      <c r="C15" t="s">
        <v>24</v>
      </c>
      <c r="D15">
        <v>20000</v>
      </c>
      <c r="E15">
        <v>20000</v>
      </c>
      <c r="F15">
        <v>20000</v>
      </c>
      <c r="G15">
        <v>20000</v>
      </c>
      <c r="H15">
        <v>20000</v>
      </c>
      <c r="I15">
        <v>20000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22</v>
      </c>
      <c r="Q15">
        <f t="shared" si="0"/>
        <v>120000</v>
      </c>
    </row>
    <row r="16" spans="1:18" ht="15.75" x14ac:dyDescent="0.25">
      <c r="A16">
        <v>15</v>
      </c>
      <c r="B16" t="s">
        <v>43</v>
      </c>
      <c r="C16" t="s">
        <v>24</v>
      </c>
      <c r="D16">
        <v>20000</v>
      </c>
      <c r="E16">
        <v>20000</v>
      </c>
      <c r="F16">
        <v>20000</v>
      </c>
      <c r="G16">
        <v>20000</v>
      </c>
      <c r="H16">
        <v>20000</v>
      </c>
      <c r="I16">
        <v>20000</v>
      </c>
      <c r="J16">
        <v>20000</v>
      </c>
      <c r="K16">
        <v>20000</v>
      </c>
      <c r="L16">
        <v>20000</v>
      </c>
      <c r="M16">
        <v>20000</v>
      </c>
      <c r="N16">
        <v>20000</v>
      </c>
      <c r="O16">
        <v>20000</v>
      </c>
      <c r="P16" t="s">
        <v>32</v>
      </c>
      <c r="Q16">
        <f t="shared" si="0"/>
        <v>240000</v>
      </c>
    </row>
    <row r="17" spans="1:18" ht="15.75" x14ac:dyDescent="0.25">
      <c r="A17">
        <v>16</v>
      </c>
      <c r="B17" t="s">
        <v>44</v>
      </c>
      <c r="C17" t="s">
        <v>24</v>
      </c>
      <c r="D17">
        <v>20000</v>
      </c>
      <c r="E17">
        <v>20000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t="s">
        <v>26</v>
      </c>
      <c r="Q17">
        <f t="shared" si="0"/>
        <v>40000</v>
      </c>
      <c r="R17" s="1">
        <v>46240</v>
      </c>
    </row>
    <row r="18" spans="1:18" ht="15.75" x14ac:dyDescent="0.25">
      <c r="A18">
        <v>17</v>
      </c>
      <c r="B18" t="s">
        <v>45</v>
      </c>
      <c r="C18" t="s">
        <v>24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26</v>
      </c>
      <c r="Q18">
        <f t="shared" si="0"/>
        <v>0</v>
      </c>
    </row>
    <row r="19" spans="1:18" ht="15.75" x14ac:dyDescent="0.25">
      <c r="A19">
        <v>18</v>
      </c>
      <c r="B19" t="s">
        <v>46</v>
      </c>
      <c r="C19" t="s">
        <v>24</v>
      </c>
      <c r="D19">
        <v>20000</v>
      </c>
      <c r="E19">
        <v>20000</v>
      </c>
      <c r="F19">
        <v>20000</v>
      </c>
      <c r="G19">
        <v>20000</v>
      </c>
      <c r="H19">
        <v>20000</v>
      </c>
      <c r="I19">
        <v>20000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22</v>
      </c>
      <c r="Q19">
        <f t="shared" si="0"/>
        <v>120000</v>
      </c>
    </row>
    <row r="20" spans="1:18" ht="15.75" x14ac:dyDescent="0.25">
      <c r="A20">
        <v>19</v>
      </c>
      <c r="B20" t="s">
        <v>47</v>
      </c>
      <c r="C20" t="s">
        <v>24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26</v>
      </c>
      <c r="Q20">
        <f t="shared" si="0"/>
        <v>0</v>
      </c>
    </row>
    <row r="21" spans="1:18" ht="15.75" x14ac:dyDescent="0.25">
      <c r="A21">
        <v>20</v>
      </c>
      <c r="B21" t="s">
        <v>48</v>
      </c>
      <c r="C21" t="s">
        <v>49</v>
      </c>
      <c r="D21">
        <v>20000</v>
      </c>
      <c r="E21">
        <v>20000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19</v>
      </c>
      <c r="Q21">
        <f t="shared" si="0"/>
        <v>40000</v>
      </c>
    </row>
    <row r="22" spans="1:18" ht="15.75" x14ac:dyDescent="0.25">
      <c r="A22">
        <v>21</v>
      </c>
      <c r="B22" t="s">
        <v>50</v>
      </c>
      <c r="C22" t="s">
        <v>24</v>
      </c>
      <c r="D22">
        <v>20000</v>
      </c>
      <c r="E22">
        <v>20000</v>
      </c>
      <c r="F22">
        <v>20000</v>
      </c>
      <c r="G22">
        <v>20000</v>
      </c>
      <c r="H22">
        <v>20000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41</v>
      </c>
      <c r="Q22">
        <f t="shared" si="0"/>
        <v>100000</v>
      </c>
    </row>
    <row r="23" spans="1:18" ht="15.75" x14ac:dyDescent="0.25">
      <c r="A23">
        <v>22</v>
      </c>
      <c r="B23" t="s">
        <v>51</v>
      </c>
      <c r="C23" t="s">
        <v>52</v>
      </c>
      <c r="D23">
        <v>20000</v>
      </c>
      <c r="E23">
        <v>20000</v>
      </c>
      <c r="F23">
        <v>20000</v>
      </c>
      <c r="G23">
        <v>20000</v>
      </c>
      <c r="H23">
        <v>20000</v>
      </c>
      <c r="I23">
        <v>20000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22</v>
      </c>
      <c r="Q23">
        <f t="shared" si="0"/>
        <v>120000</v>
      </c>
    </row>
    <row r="24" spans="1:18" ht="15.75" x14ac:dyDescent="0.25">
      <c r="A24">
        <v>23</v>
      </c>
      <c r="B24" t="s">
        <v>53</v>
      </c>
      <c r="C24" t="s">
        <v>54</v>
      </c>
      <c r="D24">
        <v>20000</v>
      </c>
      <c r="E24">
        <v>20000</v>
      </c>
      <c r="F24">
        <v>20000</v>
      </c>
      <c r="G24">
        <v>20000</v>
      </c>
      <c r="H24">
        <v>20000</v>
      </c>
      <c r="I24">
        <v>20000</v>
      </c>
      <c r="J24">
        <v>20000</v>
      </c>
      <c r="K24">
        <v>20000</v>
      </c>
      <c r="L24">
        <v>20000</v>
      </c>
      <c r="M24">
        <v>20000</v>
      </c>
      <c r="N24">
        <v>20000</v>
      </c>
      <c r="O24">
        <v>20000</v>
      </c>
      <c r="P24" t="s">
        <v>32</v>
      </c>
      <c r="Q24">
        <f t="shared" si="0"/>
        <v>240000</v>
      </c>
    </row>
    <row r="25" spans="1:18" ht="15.75" x14ac:dyDescent="0.25">
      <c r="A25">
        <v>24</v>
      </c>
      <c r="B25" t="s">
        <v>55</v>
      </c>
      <c r="C25" t="s">
        <v>56</v>
      </c>
      <c r="D25">
        <v>20000</v>
      </c>
      <c r="E25">
        <v>20000</v>
      </c>
      <c r="F25">
        <v>20000</v>
      </c>
      <c r="G25">
        <v>20000</v>
      </c>
      <c r="H25">
        <v>20000</v>
      </c>
      <c r="I25">
        <v>20000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22</v>
      </c>
      <c r="Q25">
        <f t="shared" si="0"/>
        <v>120000</v>
      </c>
    </row>
    <row r="26" spans="1:18" ht="15.75" x14ac:dyDescent="0.25">
      <c r="A26">
        <v>25</v>
      </c>
      <c r="B26" t="s">
        <v>57</v>
      </c>
      <c r="C26" t="s">
        <v>58</v>
      </c>
      <c r="D26">
        <v>20000</v>
      </c>
      <c r="E26">
        <v>20000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19</v>
      </c>
      <c r="Q26">
        <f t="shared" si="0"/>
        <v>40000</v>
      </c>
    </row>
    <row r="27" spans="1:18" ht="15.75" x14ac:dyDescent="0.25">
      <c r="A27">
        <v>26</v>
      </c>
      <c r="B27" t="s">
        <v>59</v>
      </c>
      <c r="C27" t="s">
        <v>24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26</v>
      </c>
      <c r="Q27">
        <f t="shared" si="0"/>
        <v>0</v>
      </c>
    </row>
    <row r="28" spans="1:18" ht="15.75" x14ac:dyDescent="0.25">
      <c r="A28">
        <v>27</v>
      </c>
      <c r="B28" t="s">
        <v>60</v>
      </c>
      <c r="C28" t="s">
        <v>61</v>
      </c>
      <c r="D28">
        <v>20000</v>
      </c>
      <c r="E28">
        <v>20000</v>
      </c>
      <c r="F28">
        <v>20000</v>
      </c>
      <c r="G28">
        <v>20000</v>
      </c>
      <c r="H28">
        <v>20000</v>
      </c>
      <c r="I28">
        <v>20000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22</v>
      </c>
      <c r="Q28">
        <f t="shared" si="0"/>
        <v>120000</v>
      </c>
    </row>
    <row r="29" spans="1:18" ht="15.75" x14ac:dyDescent="0.25">
      <c r="A29">
        <v>28</v>
      </c>
      <c r="B29" t="s">
        <v>62</v>
      </c>
      <c r="C29" t="s">
        <v>63</v>
      </c>
      <c r="D29">
        <v>20000</v>
      </c>
      <c r="E29">
        <v>20000</v>
      </c>
      <c r="F29">
        <v>20000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37</v>
      </c>
      <c r="Q29">
        <f t="shared" si="0"/>
        <v>60000</v>
      </c>
    </row>
    <row r="30" spans="1:18" ht="15.75" x14ac:dyDescent="0.25">
      <c r="A30">
        <v>29</v>
      </c>
      <c r="B30" t="s">
        <v>64</v>
      </c>
      <c r="C30" t="s">
        <v>65</v>
      </c>
      <c r="D30">
        <v>20000</v>
      </c>
      <c r="E30">
        <v>20000</v>
      </c>
      <c r="F30">
        <v>20000</v>
      </c>
      <c r="G30">
        <v>20000</v>
      </c>
      <c r="H30">
        <v>20000</v>
      </c>
      <c r="I30">
        <v>20000</v>
      </c>
      <c r="J30">
        <v>20000</v>
      </c>
      <c r="K30">
        <v>20000</v>
      </c>
      <c r="L30">
        <v>20000</v>
      </c>
      <c r="M30">
        <v>20000</v>
      </c>
      <c r="N30">
        <v>20000</v>
      </c>
      <c r="O30">
        <v>20000</v>
      </c>
      <c r="P30" t="s">
        <v>26</v>
      </c>
      <c r="Q30">
        <f t="shared" si="0"/>
        <v>240000</v>
      </c>
    </row>
    <row r="31" spans="1:18" ht="15.75" x14ac:dyDescent="0.25">
      <c r="A31">
        <v>30</v>
      </c>
      <c r="B31" t="s">
        <v>66</v>
      </c>
      <c r="C31" t="s">
        <v>24</v>
      </c>
      <c r="D31">
        <v>20000</v>
      </c>
      <c r="E31">
        <v>20000</v>
      </c>
      <c r="F31">
        <v>20000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37</v>
      </c>
      <c r="Q31">
        <f t="shared" si="0"/>
        <v>60000</v>
      </c>
    </row>
    <row r="32" spans="1:18" ht="15.75" x14ac:dyDescent="0.25">
      <c r="A32">
        <v>31</v>
      </c>
      <c r="B32" t="s">
        <v>67</v>
      </c>
      <c r="C32" t="s">
        <v>68</v>
      </c>
      <c r="D32">
        <v>20000</v>
      </c>
      <c r="E32">
        <v>20000</v>
      </c>
      <c r="F32">
        <v>20000</v>
      </c>
      <c r="G32">
        <v>20000</v>
      </c>
      <c r="H32">
        <v>20000</v>
      </c>
      <c r="I32">
        <v>20000</v>
      </c>
      <c r="J32">
        <v>20000</v>
      </c>
      <c r="K32">
        <v>20000</v>
      </c>
      <c r="L32">
        <v>20000</v>
      </c>
      <c r="M32">
        <v>20000</v>
      </c>
      <c r="N32">
        <v>20000</v>
      </c>
      <c r="O32">
        <v>20000</v>
      </c>
      <c r="P32" t="s">
        <v>32</v>
      </c>
      <c r="Q32">
        <f t="shared" si="0"/>
        <v>240000</v>
      </c>
    </row>
    <row r="33" spans="1:17" ht="15.75" x14ac:dyDescent="0.25">
      <c r="A33">
        <v>32</v>
      </c>
      <c r="B33" t="s">
        <v>69</v>
      </c>
      <c r="C33" t="s">
        <v>70</v>
      </c>
      <c r="D33">
        <v>20000</v>
      </c>
      <c r="E33">
        <v>20000</v>
      </c>
      <c r="F33">
        <v>20000</v>
      </c>
      <c r="G33">
        <v>20000</v>
      </c>
      <c r="H33">
        <v>20000</v>
      </c>
      <c r="I33">
        <v>20000</v>
      </c>
      <c r="J33">
        <v>20000</v>
      </c>
      <c r="K33">
        <v>20000</v>
      </c>
      <c r="L33">
        <v>20000</v>
      </c>
      <c r="M33">
        <v>20000</v>
      </c>
      <c r="N33">
        <v>20000</v>
      </c>
      <c r="O33">
        <v>20000</v>
      </c>
      <c r="P33" t="s">
        <v>32</v>
      </c>
      <c r="Q33">
        <f t="shared" si="0"/>
        <v>240000</v>
      </c>
    </row>
    <row r="34" spans="1:17" ht="15.75" x14ac:dyDescent="0.25">
      <c r="A34">
        <v>33</v>
      </c>
      <c r="B34" t="s">
        <v>71</v>
      </c>
      <c r="C34" t="s">
        <v>24</v>
      </c>
      <c r="D34">
        <v>20000</v>
      </c>
      <c r="E34">
        <v>20000</v>
      </c>
      <c r="F34">
        <v>20000</v>
      </c>
      <c r="G34">
        <v>20000</v>
      </c>
      <c r="H34">
        <v>20000</v>
      </c>
      <c r="I34">
        <v>20000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26</v>
      </c>
      <c r="Q34">
        <f t="shared" si="0"/>
        <v>120000</v>
      </c>
    </row>
    <row r="35" spans="1:17" ht="15.75" x14ac:dyDescent="0.25">
      <c r="A35">
        <v>34</v>
      </c>
      <c r="B35" t="s">
        <v>72</v>
      </c>
      <c r="C35" t="s">
        <v>24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26</v>
      </c>
      <c r="Q35">
        <f t="shared" si="0"/>
        <v>0</v>
      </c>
    </row>
    <row r="36" spans="1:17" ht="15.75" x14ac:dyDescent="0.25">
      <c r="A36">
        <v>35</v>
      </c>
      <c r="B36" t="s">
        <v>73</v>
      </c>
      <c r="C36" t="s">
        <v>36</v>
      </c>
      <c r="D36">
        <v>20000</v>
      </c>
      <c r="E36">
        <v>20000</v>
      </c>
      <c r="F36">
        <v>20000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37</v>
      </c>
      <c r="Q36">
        <f t="shared" si="0"/>
        <v>60000</v>
      </c>
    </row>
    <row r="37" spans="1:17" x14ac:dyDescent="0.25">
      <c r="Q37">
        <f>SUM(Q2:Q36)</f>
        <v>3660000</v>
      </c>
    </row>
  </sheetData>
  <pageMargins left="0.7" right="0.7" top="0.75" bottom="0.75" header="0.3" footer="0.3"/>
  <ignoredErrors>
    <ignoredError sqref="A1:Q1 A7:P7 A6:C6 J6:P6 A14:P16 A13:C13 I13:P13 A3:P5 A2:P2 A18:P29 A17:C17 F17:P17 A31:P33 A30:C30 P30 A12:C12 I12:P12 A9:P11 A8:C8 I8:P8 A35:P36 A34:C34 J34:P3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tabSelected="1" workbookViewId="0">
      <selection activeCell="C7" sqref="C7"/>
    </sheetView>
  </sheetViews>
  <sheetFormatPr defaultRowHeight="15" x14ac:dyDescent="0.25"/>
  <cols>
    <col min="2" max="2" width="10.125" bestFit="1" customWidth="1"/>
    <col min="3" max="3" width="18.875" bestFit="1" customWidth="1"/>
    <col min="4" max="4" width="63.5" bestFit="1" customWidth="1"/>
  </cols>
  <sheetData>
    <row r="1" spans="1:5" ht="15.75" x14ac:dyDescent="0.25">
      <c r="A1" t="s">
        <v>0</v>
      </c>
      <c r="B1" t="s">
        <v>74</v>
      </c>
      <c r="C1" t="s">
        <v>75</v>
      </c>
      <c r="D1" t="s">
        <v>76</v>
      </c>
      <c r="E1" t="s">
        <v>77</v>
      </c>
    </row>
    <row r="2" spans="1:5" ht="15.75" x14ac:dyDescent="0.25">
      <c r="A2">
        <v>1</v>
      </c>
      <c r="B2" t="s">
        <v>78</v>
      </c>
      <c r="C2" t="s">
        <v>79</v>
      </c>
      <c r="D2" t="s">
        <v>80</v>
      </c>
      <c r="E2">
        <v>48735</v>
      </c>
    </row>
    <row r="3" spans="1:5" ht="15.75" x14ac:dyDescent="0.25">
      <c r="A3">
        <v>2</v>
      </c>
      <c r="B3" t="s">
        <v>78</v>
      </c>
      <c r="C3" t="s">
        <v>79</v>
      </c>
      <c r="D3" t="s">
        <v>81</v>
      </c>
      <c r="E3">
        <v>58600</v>
      </c>
    </row>
    <row r="4" spans="1:5" ht="15.75" x14ac:dyDescent="0.25">
      <c r="A4">
        <v>3</v>
      </c>
      <c r="B4" t="s">
        <v>82</v>
      </c>
      <c r="C4" t="s">
        <v>79</v>
      </c>
      <c r="D4" t="s">
        <v>83</v>
      </c>
      <c r="E4">
        <v>44000</v>
      </c>
    </row>
    <row r="5" spans="1:5" ht="15.75" x14ac:dyDescent="0.25">
      <c r="A5">
        <v>4</v>
      </c>
      <c r="B5" t="s">
        <v>82</v>
      </c>
      <c r="C5" t="s">
        <v>79</v>
      </c>
      <c r="D5" t="s">
        <v>84</v>
      </c>
      <c r="E5">
        <v>35000</v>
      </c>
    </row>
    <row r="6" spans="1:5" ht="15.75" x14ac:dyDescent="0.25">
      <c r="A6">
        <v>5</v>
      </c>
      <c r="B6" t="s">
        <v>82</v>
      </c>
      <c r="C6" t="s">
        <v>85</v>
      </c>
      <c r="D6" t="s">
        <v>86</v>
      </c>
      <c r="E6">
        <v>17500</v>
      </c>
    </row>
    <row r="7" spans="1:5" ht="15.75" x14ac:dyDescent="0.25">
      <c r="A7">
        <v>6</v>
      </c>
      <c r="B7" t="s">
        <v>82</v>
      </c>
      <c r="C7" t="s">
        <v>85</v>
      </c>
      <c r="D7" t="s">
        <v>87</v>
      </c>
      <c r="E7">
        <v>10000</v>
      </c>
    </row>
    <row r="8" spans="1:5" ht="15.75" x14ac:dyDescent="0.25">
      <c r="A8">
        <v>7</v>
      </c>
      <c r="B8" t="s">
        <v>82</v>
      </c>
      <c r="C8" t="s">
        <v>85</v>
      </c>
      <c r="D8" t="s">
        <v>88</v>
      </c>
      <c r="E8">
        <v>17500</v>
      </c>
    </row>
    <row r="9" spans="1:5" x14ac:dyDescent="0.25">
      <c r="A9">
        <v>8</v>
      </c>
      <c r="B9" s="1">
        <v>46246</v>
      </c>
      <c r="C9" t="s">
        <v>79</v>
      </c>
      <c r="D9" t="s">
        <v>89</v>
      </c>
      <c r="E9">
        <v>43000</v>
      </c>
    </row>
  </sheetData>
  <pageMargins left="0.7" right="0.7" top="0.75" bottom="0.75" header="0.3" footer="0.3"/>
  <ignoredErrors>
    <ignoredError sqref="A1:E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Pembayaran Kas 12 Bulan</vt:lpstr>
      <vt:lpstr>Pengeluaran Kas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INDAH</dc:creator>
  <cp:lastModifiedBy>INDAH</cp:lastModifiedBy>
  <dcterms:created xsi:type="dcterms:W3CDTF">2026-08-28T04:31:57Z</dcterms:created>
  <dcterms:modified xsi:type="dcterms:W3CDTF">2026-08-28T04:31:57Z</dcterms:modified>
</cp:coreProperties>
</file>